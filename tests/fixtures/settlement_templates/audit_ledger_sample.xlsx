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oa/Downloads/"/>
    </mc:Choice>
  </mc:AlternateContent>
  <xr:revisionPtr revIDLastSave="0" documentId="13_ncr:1_{F4CAC95F-D2DF-AF4D-B33E-436BBB46C5A1}" xr6:coauthVersionLast="47" xr6:coauthVersionMax="47" xr10:uidLastSave="{00000000-0000-0000-0000-000000000000}"/>
  <bookViews>
    <workbookView xWindow="1960" yWindow="760" windowWidth="26840" windowHeight="17200" xr2:uid="{00000000-000D-0000-FFFF-FFFF00000000}"/>
  </bookViews>
  <sheets>
    <sheet name="결산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caI+zh8bYYaDNYaeuonzdpitTDkahezJJKn2Mv9ySE="/>
    </ext>
  </extLst>
</workbook>
</file>

<file path=xl/calcChain.xml><?xml version="1.0" encoding="utf-8"?>
<calcChain xmlns="http://schemas.openxmlformats.org/spreadsheetml/2006/main">
  <c r="F9" i="3" l="1"/>
  <c r="F11" i="3"/>
  <c r="F12" i="3"/>
  <c r="F30" i="3"/>
  <c r="F40" i="3"/>
  <c r="F47" i="3"/>
  <c r="F14" i="3"/>
  <c r="E14" i="3"/>
  <c r="D14" i="3"/>
  <c r="E13" i="3"/>
  <c r="D13" i="3"/>
  <c r="E8" i="3"/>
  <c r="D8" i="3"/>
  <c r="E10" i="3"/>
  <c r="D10" i="3"/>
  <c r="E54" i="3"/>
  <c r="E47" i="3"/>
  <c r="E40" i="3"/>
  <c r="E32" i="3"/>
  <c r="E25" i="3"/>
  <c r="E20" i="3"/>
  <c r="F7" i="3"/>
  <c r="D17" i="3" l="1"/>
  <c r="F17" i="3" l="1"/>
  <c r="F18" i="3" s="1"/>
  <c r="F19" i="3" s="1"/>
  <c r="D20" i="3"/>
  <c r="F20" i="3" s="1"/>
  <c r="D23" i="3" s="1"/>
  <c r="F23" i="3" s="1"/>
  <c r="F24" i="3" s="1"/>
  <c r="D25" i="3" l="1"/>
  <c r="F25" i="3" s="1"/>
  <c r="D28" i="3" s="1"/>
  <c r="D32" i="3" s="1"/>
  <c r="F32" i="3" s="1"/>
  <c r="D35" i="3" s="1"/>
  <c r="F28" i="3" l="1"/>
  <c r="F29" i="3" s="1"/>
  <c r="F31" i="3" s="1"/>
  <c r="D40" i="3"/>
  <c r="D43" i="3" s="1"/>
  <c r="F35" i="3"/>
  <c r="F36" i="3" s="1"/>
  <c r="F37" i="3" s="1"/>
  <c r="F38" i="3" s="1"/>
  <c r="F39" i="3" s="1"/>
  <c r="D47" i="3" l="1"/>
  <c r="D50" i="3" s="1"/>
  <c r="F43" i="3"/>
  <c r="F44" i="3" s="1"/>
  <c r="F45" i="3" s="1"/>
  <c r="F46" i="3" s="1"/>
  <c r="D54" i="3" l="1"/>
  <c r="F54" i="3" s="1"/>
  <c r="F50" i="3"/>
  <c r="F51" i="3" s="1"/>
  <c r="F52" i="3" s="1"/>
  <c r="F53" i="3" s="1"/>
</calcChain>
</file>

<file path=xl/sharedStrings.xml><?xml version="1.0" encoding="utf-8"?>
<sst xmlns="http://schemas.openxmlformats.org/spreadsheetml/2006/main" count="103" uniqueCount="47">
  <si>
    <t>비고</t>
  </si>
  <si>
    <t>단위 명' '학생회 명' 상반기 결산안</t>
  </si>
  <si>
    <t>12월 결산</t>
  </si>
  <si>
    <t>날짜</t>
  </si>
  <si>
    <t>구분</t>
  </si>
  <si>
    <t>항목</t>
  </si>
  <si>
    <t>수입</t>
  </si>
  <si>
    <t>지출</t>
  </si>
  <si>
    <t>잔액</t>
  </si>
  <si>
    <t>영수증</t>
  </si>
  <si>
    <t>이월금</t>
  </si>
  <si>
    <t>예시</t>
  </si>
  <si>
    <t>학생회
비품구입</t>
  </si>
  <si>
    <t>비품</t>
  </si>
  <si>
    <t>12*1</t>
  </si>
  <si>
    <t>12월 정산</t>
  </si>
  <si>
    <t>1월 결산</t>
  </si>
  <si>
    <t xml:space="preserve">수입 </t>
  </si>
  <si>
    <t xml:space="preserve">지출 </t>
  </si>
  <si>
    <t>이자</t>
  </si>
  <si>
    <t>결산이자</t>
  </si>
  <si>
    <t>1월 정산</t>
  </si>
  <si>
    <t>2월 정산</t>
  </si>
  <si>
    <t>3월 정산</t>
  </si>
  <si>
    <t>4월 정산</t>
  </si>
  <si>
    <t>5월 정산</t>
  </si>
  <si>
    <t>6월 정산</t>
  </si>
  <si>
    <r>
      <t>2026</t>
    </r>
    <r>
      <rPr>
        <sz val="11"/>
        <color rgb="FF000000"/>
        <rFont val="맑은 고딕"/>
        <family val="2"/>
        <charset val="129"/>
      </rPr>
      <t>년 0월 0일</t>
    </r>
    <phoneticPr fontId="7" type="noConversion"/>
  </si>
  <si>
    <t>2월 결산</t>
    <phoneticPr fontId="7" type="noConversion"/>
  </si>
  <si>
    <t>3월 결산</t>
    <phoneticPr fontId="7" type="noConversion"/>
  </si>
  <si>
    <t>4월 결산</t>
    <phoneticPr fontId="7" type="noConversion"/>
  </si>
  <si>
    <t>5월 결산</t>
    <phoneticPr fontId="7" type="noConversion"/>
  </si>
  <si>
    <t>6월 결산</t>
    <phoneticPr fontId="7" type="noConversion"/>
  </si>
  <si>
    <t>하나 되어 커지는 공대의 울림</t>
    <phoneticPr fontId="7" type="noConversion"/>
  </si>
  <si>
    <t xml:space="preserve">25. 12. 30. </t>
    <phoneticPr fontId="7" type="noConversion"/>
  </si>
  <si>
    <t>25. 12. 18.</t>
    <phoneticPr fontId="7" type="noConversion"/>
  </si>
  <si>
    <t xml:space="preserve">25. 12. 23. </t>
    <phoneticPr fontId="7" type="noConversion"/>
  </si>
  <si>
    <t>동계엠티</t>
    <phoneticPr fontId="7" type="noConversion"/>
  </si>
  <si>
    <t>학생회 비품구입 소계</t>
    <phoneticPr fontId="7" type="noConversion"/>
  </si>
  <si>
    <t>이월금</t>
    <phoneticPr fontId="7" type="noConversion"/>
  </si>
  <si>
    <t>전월이월 소계</t>
    <phoneticPr fontId="7" type="noConversion"/>
  </si>
  <si>
    <t>숙소</t>
    <phoneticPr fontId="7" type="noConversion"/>
  </si>
  <si>
    <t>25.12. 31.</t>
    <phoneticPr fontId="7" type="noConversion"/>
  </si>
  <si>
    <t>버스 대금 보증금 환급</t>
    <phoneticPr fontId="7" type="noConversion"/>
  </si>
  <si>
    <t>동계 엠티 소계</t>
    <phoneticPr fontId="7" type="noConversion"/>
  </si>
  <si>
    <t>12*2*1-3</t>
    <phoneticPr fontId="7" type="noConversion"/>
  </si>
  <si>
    <t>영수증이 2개 이상인 경우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</si>
</sst>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₩&quot;* #,##0_-;\-&quot;₩&quot;* #,##0_-;_-&quot;₩&quot;* &quot;-&quot;_-;_-@"/>
  </numFmts>
  <fonts count="11">
    <font>
      <sz val="11"/>
      <color rgb="FF000000"/>
      <name val="Calibri"/>
      <scheme val="minor"/>
    </font>
    <font>
      <sz val="11"/>
      <color rgb="FF000000"/>
      <name val="Malgun Gothic"/>
      <family val="2"/>
      <charset val="129"/>
    </font>
    <font>
      <sz val="11"/>
      <name val="Calibri"/>
      <family val="2"/>
    </font>
    <font>
      <sz val="10"/>
      <color rgb="FF000000"/>
      <name val="Malgun Gothic"/>
      <family val="2"/>
      <charset val="129"/>
    </font>
    <font>
      <b/>
      <sz val="16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1"/>
      <color rgb="FF000000"/>
      <name val="맑은 고딕"/>
      <family val="2"/>
      <charset val="129"/>
    </font>
    <font>
      <sz val="8"/>
      <name val="Calibri"/>
      <family val="3"/>
      <charset val="129"/>
      <scheme val="minor"/>
    </font>
    <font>
      <b/>
      <i/>
      <sz val="14"/>
      <color rgb="FF0070C0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11"/>
      <color rgb="FFFF000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0B0A-72CC-B646-AF8D-D9032CB5DEC5}">
  <dimension ref="A1:I55"/>
  <sheetViews>
    <sheetView tabSelected="1" workbookViewId="0">
      <selection activeCell="J8" sqref="J8"/>
    </sheetView>
  </sheetViews>
  <sheetFormatPr baseColWidth="10" defaultRowHeight="15"/>
  <sheetData>
    <row r="1" spans="1:9" ht="17">
      <c r="A1" s="33" t="s">
        <v>33</v>
      </c>
      <c r="B1" s="30"/>
      <c r="C1" s="30"/>
      <c r="D1" s="30"/>
      <c r="E1" s="30"/>
      <c r="F1" s="30"/>
      <c r="G1" s="34" t="s">
        <v>27</v>
      </c>
      <c r="H1" s="29"/>
    </row>
    <row r="3" spans="1:9" ht="23">
      <c r="A3" s="39" t="s">
        <v>1</v>
      </c>
      <c r="B3" s="30"/>
      <c r="C3" s="30"/>
      <c r="D3" s="30"/>
      <c r="E3" s="30"/>
      <c r="F3" s="30"/>
      <c r="G3" s="30"/>
      <c r="H3" s="30"/>
    </row>
    <row r="4" spans="1:9" ht="17">
      <c r="A4" s="1"/>
      <c r="B4" s="1"/>
      <c r="C4" s="1"/>
      <c r="D4" s="3"/>
      <c r="E4" s="3"/>
      <c r="F4" s="3"/>
      <c r="G4" s="3"/>
      <c r="H4" s="4"/>
    </row>
    <row r="5" spans="1:9">
      <c r="A5" s="40" t="s">
        <v>2</v>
      </c>
      <c r="B5" s="32"/>
      <c r="C5" s="32"/>
      <c r="D5" s="32"/>
      <c r="E5" s="32"/>
      <c r="F5" s="32"/>
      <c r="G5" s="32"/>
      <c r="H5" s="31"/>
    </row>
    <row r="6" spans="1:9" ht="16">
      <c r="A6" s="5" t="s">
        <v>3</v>
      </c>
      <c r="B6" s="5" t="s">
        <v>4</v>
      </c>
      <c r="C6" s="5" t="s">
        <v>5</v>
      </c>
      <c r="D6" s="6" t="s">
        <v>6</v>
      </c>
      <c r="E6" s="6" t="s">
        <v>7</v>
      </c>
      <c r="F6" s="6" t="s">
        <v>8</v>
      </c>
      <c r="G6" s="5" t="s">
        <v>0</v>
      </c>
      <c r="H6" s="7" t="s">
        <v>9</v>
      </c>
    </row>
    <row r="7" spans="1:9" ht="16">
      <c r="A7" s="2" t="s">
        <v>35</v>
      </c>
      <c r="B7" s="41" t="s">
        <v>10</v>
      </c>
      <c r="C7" s="2" t="s">
        <v>39</v>
      </c>
      <c r="D7" s="8">
        <v>365021</v>
      </c>
      <c r="E7" s="6"/>
      <c r="F7" s="8">
        <f>$D7-$E7</f>
        <v>365021</v>
      </c>
      <c r="G7" s="27" t="s">
        <v>11</v>
      </c>
      <c r="H7" s="7"/>
    </row>
    <row r="8" spans="1:9" ht="32">
      <c r="A8" s="2"/>
      <c r="B8" s="42"/>
      <c r="C8" s="2" t="s">
        <v>40</v>
      </c>
      <c r="D8" s="8">
        <f>SUM(D7)</f>
        <v>365021</v>
      </c>
      <c r="E8" s="6">
        <f>SUM(E7)</f>
        <v>0</v>
      </c>
      <c r="F8" s="9"/>
      <c r="G8" s="27" t="s">
        <v>11</v>
      </c>
      <c r="H8" s="7"/>
    </row>
    <row r="9" spans="1:9" ht="33" customHeight="1">
      <c r="A9" s="24" t="s">
        <v>36</v>
      </c>
      <c r="B9" s="41" t="s">
        <v>12</v>
      </c>
      <c r="C9" s="2" t="s">
        <v>13</v>
      </c>
      <c r="D9" s="8"/>
      <c r="E9" s="8">
        <v>85000</v>
      </c>
      <c r="F9" s="9">
        <f>F7+D9-E9</f>
        <v>280021</v>
      </c>
      <c r="G9" s="27" t="s">
        <v>11</v>
      </c>
      <c r="H9" s="10" t="s">
        <v>14</v>
      </c>
    </row>
    <row r="10" spans="1:9" ht="46" customHeight="1">
      <c r="A10" s="25"/>
      <c r="B10" s="42"/>
      <c r="C10" s="26" t="s">
        <v>38</v>
      </c>
      <c r="D10" s="9">
        <f>SUM(D9)</f>
        <v>0</v>
      </c>
      <c r="E10" s="9">
        <f>SUM(E9)</f>
        <v>85000</v>
      </c>
      <c r="F10" s="9"/>
      <c r="G10" s="27" t="s">
        <v>11</v>
      </c>
      <c r="H10" s="18"/>
    </row>
    <row r="11" spans="1:9" ht="16">
      <c r="A11" s="25" t="s">
        <v>34</v>
      </c>
      <c r="B11" s="41" t="s">
        <v>37</v>
      </c>
      <c r="C11" s="26" t="s">
        <v>41</v>
      </c>
      <c r="D11" s="9"/>
      <c r="E11" s="9">
        <v>200000</v>
      </c>
      <c r="F11" s="9">
        <f>F9+D11-E11</f>
        <v>80021</v>
      </c>
      <c r="G11" s="27" t="s">
        <v>11</v>
      </c>
      <c r="H11" s="18"/>
    </row>
    <row r="12" spans="1:9" ht="32">
      <c r="A12" s="25" t="s">
        <v>42</v>
      </c>
      <c r="B12" s="43"/>
      <c r="C12" s="26" t="s">
        <v>43</v>
      </c>
      <c r="D12" s="9">
        <v>150000</v>
      </c>
      <c r="E12" s="9"/>
      <c r="F12" s="9">
        <f>F11+D12-E12</f>
        <v>230021</v>
      </c>
      <c r="G12" s="27" t="s">
        <v>11</v>
      </c>
      <c r="H12" s="18" t="s">
        <v>45</v>
      </c>
      <c r="I12" s="28" t="s">
        <v>46</v>
      </c>
    </row>
    <row r="13" spans="1:9" ht="32">
      <c r="A13" s="25"/>
      <c r="B13" s="42"/>
      <c r="C13" s="26" t="s">
        <v>44</v>
      </c>
      <c r="D13" s="9">
        <f>SUM(D11:D12)</f>
        <v>150000</v>
      </c>
      <c r="E13" s="9">
        <f>SUM(E11:E12)</f>
        <v>200000</v>
      </c>
      <c r="F13" s="9"/>
      <c r="G13" s="27" t="s">
        <v>11</v>
      </c>
      <c r="H13" s="18"/>
    </row>
    <row r="14" spans="1:9" ht="17" thickBot="1">
      <c r="A14" s="36" t="s">
        <v>15</v>
      </c>
      <c r="B14" s="37"/>
      <c r="C14" s="38"/>
      <c r="D14" s="11">
        <f>SUM(D8,D10,D13)</f>
        <v>515021</v>
      </c>
      <c r="E14" s="11">
        <f>SUM(E8,E10,E13)</f>
        <v>285000</v>
      </c>
      <c r="F14" s="11">
        <f>$D14-$E14</f>
        <v>230021</v>
      </c>
      <c r="G14" s="27" t="s">
        <v>11</v>
      </c>
      <c r="H14" s="12"/>
    </row>
    <row r="15" spans="1:9" ht="16" thickTop="1">
      <c r="A15" s="35" t="s">
        <v>16</v>
      </c>
      <c r="B15" s="44"/>
      <c r="C15" s="44"/>
      <c r="D15" s="44"/>
      <c r="E15" s="44"/>
      <c r="F15" s="44"/>
      <c r="G15" s="44"/>
      <c r="H15" s="45"/>
    </row>
    <row r="16" spans="1:9" ht="16" customHeight="1">
      <c r="A16" s="13" t="s">
        <v>3</v>
      </c>
      <c r="B16" s="13" t="s">
        <v>4</v>
      </c>
      <c r="C16" s="13" t="s">
        <v>5</v>
      </c>
      <c r="D16" s="14" t="s">
        <v>17</v>
      </c>
      <c r="E16" s="14" t="s">
        <v>18</v>
      </c>
      <c r="F16" s="14" t="s">
        <v>8</v>
      </c>
      <c r="G16" s="13" t="s">
        <v>0</v>
      </c>
      <c r="H16" s="15" t="s">
        <v>9</v>
      </c>
    </row>
    <row r="17" spans="1:8" ht="16">
      <c r="A17" s="2"/>
      <c r="B17" s="2" t="s">
        <v>10</v>
      </c>
      <c r="C17" s="2"/>
      <c r="D17" s="8">
        <f>F14</f>
        <v>230021</v>
      </c>
      <c r="E17" s="8"/>
      <c r="F17" s="16">
        <f>D17-E17</f>
        <v>230021</v>
      </c>
      <c r="G17" s="27" t="s">
        <v>11</v>
      </c>
      <c r="H17" s="10"/>
    </row>
    <row r="18" spans="1:8" ht="16">
      <c r="A18" s="17"/>
      <c r="B18" s="17" t="s">
        <v>19</v>
      </c>
      <c r="C18" s="17" t="s">
        <v>20</v>
      </c>
      <c r="D18" s="9">
        <v>12</v>
      </c>
      <c r="E18" s="9"/>
      <c r="F18" s="9">
        <f>F17+D18-E18</f>
        <v>230033</v>
      </c>
      <c r="G18" s="27" t="s">
        <v>11</v>
      </c>
      <c r="H18" s="18"/>
    </row>
    <row r="19" spans="1:8">
      <c r="A19" s="17"/>
      <c r="B19" s="17"/>
      <c r="C19" s="17"/>
      <c r="D19" s="9"/>
      <c r="E19" s="9"/>
      <c r="F19" s="9">
        <f>F18+D19-E19</f>
        <v>230033</v>
      </c>
      <c r="G19" s="17"/>
      <c r="H19" s="18"/>
    </row>
    <row r="20" spans="1:8" ht="16" customHeight="1" thickBot="1">
      <c r="A20" s="36" t="s">
        <v>21</v>
      </c>
      <c r="B20" s="37"/>
      <c r="C20" s="38"/>
      <c r="D20" s="11">
        <f>SUM(D17:D19)</f>
        <v>230033</v>
      </c>
      <c r="E20" s="11">
        <f>SUM(E17:E18)</f>
        <v>0</v>
      </c>
      <c r="F20" s="11">
        <f>D20-E20</f>
        <v>230033</v>
      </c>
      <c r="G20" s="19"/>
      <c r="H20" s="20"/>
    </row>
    <row r="21" spans="1:8" ht="16" customHeight="1" thickTop="1">
      <c r="A21" s="35" t="s">
        <v>28</v>
      </c>
      <c r="B21" s="44"/>
      <c r="C21" s="44"/>
      <c r="D21" s="44"/>
      <c r="E21" s="44"/>
      <c r="F21" s="44"/>
      <c r="G21" s="44"/>
      <c r="H21" s="45"/>
    </row>
    <row r="22" spans="1:8" ht="16">
      <c r="A22" s="5" t="s">
        <v>3</v>
      </c>
      <c r="B22" s="5" t="s">
        <v>4</v>
      </c>
      <c r="C22" s="5" t="s">
        <v>5</v>
      </c>
      <c r="D22" s="6" t="s">
        <v>6</v>
      </c>
      <c r="E22" s="6" t="s">
        <v>7</v>
      </c>
      <c r="F22" s="6" t="s">
        <v>8</v>
      </c>
      <c r="G22" s="5" t="s">
        <v>0</v>
      </c>
      <c r="H22" s="7" t="s">
        <v>9</v>
      </c>
    </row>
    <row r="23" spans="1:8">
      <c r="A23" s="2"/>
      <c r="B23" s="2"/>
      <c r="C23" s="2"/>
      <c r="D23" s="8">
        <f>F20</f>
        <v>230033</v>
      </c>
      <c r="E23" s="8"/>
      <c r="F23" s="8">
        <f>D23-E23</f>
        <v>230033</v>
      </c>
      <c r="G23" s="2"/>
      <c r="H23" s="10"/>
    </row>
    <row r="24" spans="1:8" ht="17">
      <c r="A24" s="2"/>
      <c r="B24" s="2"/>
      <c r="C24" s="2"/>
      <c r="D24" s="8"/>
      <c r="E24" s="8"/>
      <c r="F24" s="9">
        <f>F23+D24-E24</f>
        <v>230033</v>
      </c>
      <c r="G24" s="2"/>
      <c r="H24" s="21"/>
    </row>
    <row r="25" spans="1:8" ht="16" thickBot="1">
      <c r="A25" s="36" t="s">
        <v>22</v>
      </c>
      <c r="B25" s="37"/>
      <c r="C25" s="38"/>
      <c r="D25" s="11">
        <f>SUM(D23:D24)</f>
        <v>230033</v>
      </c>
      <c r="E25" s="11">
        <f>SUM(E23:E24)</f>
        <v>0</v>
      </c>
      <c r="F25" s="11">
        <f>D25-E25</f>
        <v>230033</v>
      </c>
      <c r="G25" s="22"/>
      <c r="H25" s="12"/>
    </row>
    <row r="26" spans="1:8" ht="16" thickTop="1">
      <c r="A26" s="35" t="s">
        <v>29</v>
      </c>
      <c r="B26" s="44"/>
      <c r="C26" s="44"/>
      <c r="D26" s="44"/>
      <c r="E26" s="44"/>
      <c r="F26" s="44"/>
      <c r="G26" s="44"/>
      <c r="H26" s="45"/>
    </row>
    <row r="27" spans="1:8" ht="16" customHeight="1">
      <c r="A27" s="5" t="s">
        <v>3</v>
      </c>
      <c r="B27" s="5" t="s">
        <v>4</v>
      </c>
      <c r="C27" s="5" t="s">
        <v>5</v>
      </c>
      <c r="D27" s="6" t="s">
        <v>6</v>
      </c>
      <c r="E27" s="6" t="s">
        <v>7</v>
      </c>
      <c r="F27" s="6" t="s">
        <v>8</v>
      </c>
      <c r="G27" s="5" t="s">
        <v>0</v>
      </c>
      <c r="H27" s="7" t="s">
        <v>9</v>
      </c>
    </row>
    <row r="28" spans="1:8" ht="16" customHeight="1">
      <c r="A28" s="2"/>
      <c r="B28" s="2"/>
      <c r="C28" s="2"/>
      <c r="D28" s="8">
        <f>F25</f>
        <v>230033</v>
      </c>
      <c r="E28" s="8"/>
      <c r="F28" s="8">
        <f>D28-E28</f>
        <v>230033</v>
      </c>
      <c r="G28" s="2"/>
      <c r="H28" s="10"/>
    </row>
    <row r="29" spans="1:8">
      <c r="A29" s="23"/>
      <c r="B29" s="23"/>
      <c r="C29" s="2"/>
      <c r="D29" s="8"/>
      <c r="E29" s="8"/>
      <c r="F29" s="9">
        <f>F28+D29-E29</f>
        <v>230033</v>
      </c>
      <c r="G29" s="2"/>
      <c r="H29" s="10"/>
    </row>
    <row r="30" spans="1:8">
      <c r="A30" s="23"/>
      <c r="B30" s="23"/>
      <c r="C30" s="2"/>
      <c r="D30" s="9"/>
      <c r="E30" s="9"/>
      <c r="F30" s="9">
        <f>F29+D30-E30</f>
        <v>230033</v>
      </c>
      <c r="G30" s="17"/>
      <c r="H30" s="18"/>
    </row>
    <row r="31" spans="1:8">
      <c r="A31" s="17"/>
      <c r="B31" s="17"/>
      <c r="C31" s="17"/>
      <c r="D31" s="9"/>
      <c r="E31" s="9"/>
      <c r="F31" s="9">
        <f>F30+D31-E31</f>
        <v>230033</v>
      </c>
      <c r="G31" s="2"/>
      <c r="H31" s="18"/>
    </row>
    <row r="32" spans="1:8" ht="16" thickBot="1">
      <c r="A32" s="36" t="s">
        <v>23</v>
      </c>
      <c r="B32" s="37"/>
      <c r="C32" s="38"/>
      <c r="D32" s="11">
        <f>SUM(D28:D31)</f>
        <v>230033</v>
      </c>
      <c r="E32" s="11">
        <f>SUM(E28:E31)</f>
        <v>0</v>
      </c>
      <c r="F32" s="11">
        <f>D32-E32</f>
        <v>230033</v>
      </c>
      <c r="G32" s="22"/>
      <c r="H32" s="12"/>
    </row>
    <row r="33" spans="1:8" ht="16" thickTop="1">
      <c r="A33" s="35" t="s">
        <v>30</v>
      </c>
      <c r="B33" s="44"/>
      <c r="C33" s="44"/>
      <c r="D33" s="44"/>
      <c r="E33" s="44"/>
      <c r="F33" s="44"/>
      <c r="G33" s="44"/>
      <c r="H33" s="45"/>
    </row>
    <row r="34" spans="1:8" ht="16">
      <c r="A34" s="5" t="s">
        <v>3</v>
      </c>
      <c r="B34" s="5" t="s">
        <v>4</v>
      </c>
      <c r="C34" s="5" t="s">
        <v>5</v>
      </c>
      <c r="D34" s="6" t="s">
        <v>6</v>
      </c>
      <c r="E34" s="6" t="s">
        <v>7</v>
      </c>
      <c r="F34" s="6" t="s">
        <v>8</v>
      </c>
      <c r="G34" s="5" t="s">
        <v>0</v>
      </c>
      <c r="H34" s="7" t="s">
        <v>9</v>
      </c>
    </row>
    <row r="35" spans="1:8" ht="16" customHeight="1">
      <c r="A35" s="2"/>
      <c r="B35" s="2"/>
      <c r="C35" s="2"/>
      <c r="D35" s="8">
        <f>F32</f>
        <v>230033</v>
      </c>
      <c r="E35" s="8"/>
      <c r="F35" s="8">
        <f>D35-E35</f>
        <v>230033</v>
      </c>
      <c r="G35" s="2"/>
      <c r="H35" s="10"/>
    </row>
    <row r="36" spans="1:8" ht="16" customHeight="1">
      <c r="A36" s="23"/>
      <c r="B36" s="23"/>
      <c r="C36" s="2"/>
      <c r="D36" s="8"/>
      <c r="E36" s="8"/>
      <c r="F36" s="9">
        <f>F35+D36-E36</f>
        <v>230033</v>
      </c>
      <c r="G36" s="2"/>
      <c r="H36" s="10"/>
    </row>
    <row r="37" spans="1:8">
      <c r="A37" s="23"/>
      <c r="B37" s="23"/>
      <c r="C37" s="2"/>
      <c r="D37" s="9"/>
      <c r="E37" s="9"/>
      <c r="F37" s="9">
        <f>F36+D37-E37</f>
        <v>230033</v>
      </c>
      <c r="G37" s="17"/>
      <c r="H37" s="18"/>
    </row>
    <row r="38" spans="1:8">
      <c r="A38" s="23"/>
      <c r="B38" s="23"/>
      <c r="C38" s="2"/>
      <c r="D38" s="9"/>
      <c r="E38" s="9"/>
      <c r="F38" s="9">
        <f>F37+D38-E38</f>
        <v>230033</v>
      </c>
      <c r="G38" s="17"/>
      <c r="H38" s="18"/>
    </row>
    <row r="39" spans="1:8">
      <c r="A39" s="17"/>
      <c r="B39" s="17"/>
      <c r="C39" s="17"/>
      <c r="D39" s="9"/>
      <c r="E39" s="9"/>
      <c r="F39" s="9">
        <f>F38+D39-E39</f>
        <v>230033</v>
      </c>
      <c r="G39" s="2"/>
      <c r="H39" s="18"/>
    </row>
    <row r="40" spans="1:8" ht="16" thickBot="1">
      <c r="A40" s="36" t="s">
        <v>24</v>
      </c>
      <c r="B40" s="37"/>
      <c r="C40" s="38"/>
      <c r="D40" s="11">
        <f>SUM(D35:D39)</f>
        <v>230033</v>
      </c>
      <c r="E40" s="11">
        <f>SUM(E35:E39)</f>
        <v>0</v>
      </c>
      <c r="F40" s="11">
        <f>D40-E40</f>
        <v>230033</v>
      </c>
      <c r="G40" s="22"/>
      <c r="H40" s="12"/>
    </row>
    <row r="41" spans="1:8" ht="16" thickTop="1">
      <c r="A41" s="35" t="s">
        <v>31</v>
      </c>
      <c r="B41" s="44"/>
      <c r="C41" s="44"/>
      <c r="D41" s="44"/>
      <c r="E41" s="44"/>
      <c r="F41" s="44"/>
      <c r="G41" s="44"/>
      <c r="H41" s="45"/>
    </row>
    <row r="42" spans="1:8" ht="16" customHeight="1">
      <c r="A42" s="5" t="s">
        <v>3</v>
      </c>
      <c r="B42" s="5" t="s">
        <v>4</v>
      </c>
      <c r="C42" s="5" t="s">
        <v>5</v>
      </c>
      <c r="D42" s="6" t="s">
        <v>6</v>
      </c>
      <c r="E42" s="6" t="s">
        <v>7</v>
      </c>
      <c r="F42" s="6" t="s">
        <v>8</v>
      </c>
      <c r="G42" s="5" t="s">
        <v>0</v>
      </c>
      <c r="H42" s="7" t="s">
        <v>9</v>
      </c>
    </row>
    <row r="43" spans="1:8" ht="16" customHeight="1">
      <c r="A43" s="2"/>
      <c r="B43" s="2"/>
      <c r="C43" s="2"/>
      <c r="D43" s="8">
        <f>F40</f>
        <v>230033</v>
      </c>
      <c r="E43" s="8"/>
      <c r="F43" s="8">
        <f>D43-E43</f>
        <v>230033</v>
      </c>
      <c r="G43" s="2"/>
      <c r="H43" s="10"/>
    </row>
    <row r="44" spans="1:8">
      <c r="A44" s="23"/>
      <c r="B44" s="23"/>
      <c r="C44" s="2"/>
      <c r="D44" s="8"/>
      <c r="E44" s="8"/>
      <c r="F44" s="9">
        <f>F43+D44-E44</f>
        <v>230033</v>
      </c>
      <c r="G44" s="2"/>
      <c r="H44" s="10"/>
    </row>
    <row r="45" spans="1:8">
      <c r="A45" s="23"/>
      <c r="B45" s="23"/>
      <c r="C45" s="2"/>
      <c r="D45" s="9"/>
      <c r="E45" s="9"/>
      <c r="F45" s="9">
        <f>F44+D45-E45</f>
        <v>230033</v>
      </c>
      <c r="G45" s="17"/>
      <c r="H45" s="18"/>
    </row>
    <row r="46" spans="1:8">
      <c r="A46" s="17"/>
      <c r="B46" s="17"/>
      <c r="C46" s="17"/>
      <c r="D46" s="9"/>
      <c r="E46" s="9"/>
      <c r="F46" s="9">
        <f>F45+D46-E46</f>
        <v>230033</v>
      </c>
      <c r="G46" s="2"/>
      <c r="H46" s="18"/>
    </row>
    <row r="47" spans="1:8" ht="16" thickBot="1">
      <c r="A47" s="36" t="s">
        <v>25</v>
      </c>
      <c r="B47" s="37"/>
      <c r="C47" s="38"/>
      <c r="D47" s="11">
        <f>SUM(D43:D46)</f>
        <v>230033</v>
      </c>
      <c r="E47" s="11">
        <f>SUM(E43:E46)</f>
        <v>0</v>
      </c>
      <c r="F47" s="11">
        <f>D47-E47</f>
        <v>230033</v>
      </c>
      <c r="G47" s="22"/>
      <c r="H47" s="12"/>
    </row>
    <row r="48" spans="1:8" ht="16" thickTop="1">
      <c r="A48" s="35" t="s">
        <v>32</v>
      </c>
      <c r="B48" s="44"/>
      <c r="C48" s="44"/>
      <c r="D48" s="44"/>
      <c r="E48" s="44"/>
      <c r="F48" s="44"/>
      <c r="G48" s="44"/>
      <c r="H48" s="45"/>
    </row>
    <row r="49" spans="1:8" ht="16" customHeight="1">
      <c r="A49" s="5" t="s">
        <v>3</v>
      </c>
      <c r="B49" s="5" t="s">
        <v>4</v>
      </c>
      <c r="C49" s="5" t="s">
        <v>5</v>
      </c>
      <c r="D49" s="6" t="s">
        <v>6</v>
      </c>
      <c r="E49" s="6" t="s">
        <v>7</v>
      </c>
      <c r="F49" s="6" t="s">
        <v>8</v>
      </c>
      <c r="G49" s="5" t="s">
        <v>0</v>
      </c>
      <c r="H49" s="7" t="s">
        <v>9</v>
      </c>
    </row>
    <row r="50" spans="1:8">
      <c r="A50" s="2"/>
      <c r="B50" s="2"/>
      <c r="C50" s="2"/>
      <c r="D50" s="8">
        <f>F47</f>
        <v>230033</v>
      </c>
      <c r="E50" s="8"/>
      <c r="F50" s="8">
        <f>D50-E50</f>
        <v>230033</v>
      </c>
      <c r="G50" s="2"/>
      <c r="H50" s="10"/>
    </row>
    <row r="51" spans="1:8">
      <c r="A51" s="23"/>
      <c r="B51" s="23"/>
      <c r="C51" s="2"/>
      <c r="D51" s="8"/>
      <c r="E51" s="8"/>
      <c r="F51" s="9">
        <f>F50+D51-E51</f>
        <v>230033</v>
      </c>
      <c r="G51" s="2"/>
      <c r="H51" s="10"/>
    </row>
    <row r="52" spans="1:8">
      <c r="A52" s="23"/>
      <c r="B52" s="23"/>
      <c r="C52" s="2"/>
      <c r="D52" s="9"/>
      <c r="E52" s="9"/>
      <c r="F52" s="9">
        <f>F51+D52-E52</f>
        <v>230033</v>
      </c>
      <c r="G52" s="17"/>
      <c r="H52" s="18"/>
    </row>
    <row r="53" spans="1:8">
      <c r="A53" s="17"/>
      <c r="B53" s="17"/>
      <c r="C53" s="17"/>
      <c r="D53" s="9"/>
      <c r="E53" s="9"/>
      <c r="F53" s="9">
        <f>F52+D53-E53</f>
        <v>230033</v>
      </c>
      <c r="G53" s="2"/>
      <c r="H53" s="18"/>
    </row>
    <row r="54" spans="1:8" ht="16" thickBot="1">
      <c r="A54" s="36" t="s">
        <v>26</v>
      </c>
      <c r="B54" s="37"/>
      <c r="C54" s="38"/>
      <c r="D54" s="11">
        <f>SUM(D50:D53)</f>
        <v>230033</v>
      </c>
      <c r="E54" s="11">
        <f>SUM(E50:E53)</f>
        <v>0</v>
      </c>
      <c r="F54" s="11">
        <f>D54-E54</f>
        <v>230033</v>
      </c>
      <c r="G54" s="22"/>
      <c r="H54" s="12"/>
    </row>
    <row r="55" spans="1:8" ht="16" thickTop="1"/>
  </sheetData>
  <mergeCells count="20">
    <mergeCell ref="A54:C54"/>
    <mergeCell ref="A15:H15"/>
    <mergeCell ref="A21:H21"/>
    <mergeCell ref="A26:H26"/>
    <mergeCell ref="A33:H33"/>
    <mergeCell ref="A41:H41"/>
    <mergeCell ref="A48:H48"/>
    <mergeCell ref="A32:C32"/>
    <mergeCell ref="A40:C40"/>
    <mergeCell ref="A47:C47"/>
    <mergeCell ref="B7:B8"/>
    <mergeCell ref="B9:B10"/>
    <mergeCell ref="B11:B13"/>
    <mergeCell ref="A1:F1"/>
    <mergeCell ref="G1:H1"/>
    <mergeCell ref="A14:C14"/>
    <mergeCell ref="A20:C20"/>
    <mergeCell ref="A25:C25"/>
    <mergeCell ref="A3:H3"/>
    <mergeCell ref="A5:H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결산안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최지영</dc:creator>
  <cp:lastModifiedBy>이수아</cp:lastModifiedBy>
  <dcterms:created xsi:type="dcterms:W3CDTF">2021-04-27T15:34:54Z</dcterms:created>
  <dcterms:modified xsi:type="dcterms:W3CDTF">2026-06-10T04:18:09Z</dcterms:modified>
</cp:coreProperties>
</file>